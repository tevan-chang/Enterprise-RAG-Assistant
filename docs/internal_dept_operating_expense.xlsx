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營運費用明細" sheetId="1" state="visible" r:id="rId3"/>
    <sheet name="部門人力配置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<sst xmlns="http://schemas.openxmlformats.org/spreadsheetml/2006/main" count="32" uniqueCount="20">
  <si>
    <t xml:space="preserve">月份</t>
  </si>
  <si>
    <t xml:space="preserve">費用類別</t>
  </si>
  <si>
    <r>
      <rPr>
        <b val="true"/>
        <sz val="11"/>
        <color rgb="FFFFFFFF"/>
        <rFont val="Noto Sans CJK SC"/>
        <family val="2"/>
      </rPr>
      <t xml:space="preserve">預算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</si>
  <si>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b val="true"/>
        <sz val="11"/>
        <color rgb="FFFFFFFF"/>
        <rFont val="Noto Sans CJK SC"/>
        <family val="2"/>
      </rPr>
      <t xml:space="preserve">實支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</si>
  <si>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b val="true"/>
        <sz val="11"/>
        <color rgb="FFFFFFFF"/>
        <rFont val="Noto Sans CJK SC"/>
        <family val="2"/>
      </rPr>
      <t xml:space="preserve">結餘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</si>
  <si>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SC"/>
        <family val="2"/>
      </rPr>
      <t xml:space="preserve">月</t>
    </r>
  </si>
  <si>
    <t xml:space="preserve">差旅費</t>
  </si>
  <si>
    <t xml:space="preserve">辦公用品</t>
  </si>
  <si>
    <t xml:space="preserve">教育訓練</t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</si>
  <si>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月</t>
    </r>
  </si>
  <si>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Noto Sans CJK SC"/>
        <family val="2"/>
      </rPr>
      <t xml:space="preserve">月</t>
    </r>
  </si>
  <si>
    <t xml:space="preserve">合計</t>
  </si>
  <si>
    <t xml:space="preserve">部門</t>
  </si>
  <si>
    <t xml:space="preserve">編制人數</t>
  </si>
  <si>
    <t xml:space="preserve">在職人數</t>
  </si>
  <si>
    <t xml:space="preserve">缺額</t>
  </si>
  <si>
    <t xml:space="preserve">研發部</t>
  </si>
  <si>
    <t xml:space="preserve">業務部</t>
  </si>
  <si>
    <t xml:space="preserve">行政部</t>
  </si>
  <si>
    <t xml:space="preserve">人資部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</si>
</sst>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sz val="11"/>
      <color rgb="FF00000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2" t="s">
        <v>5</v>
      </c>
      <c r="B2" s="3" t="s">
        <v>6</v>
      </c>
      <c r="C2" s="4" t="n">
        <v>180000</v>
      </c>
      <c r="D2" s="4" t="n">
        <v>142000</v>
      </c>
      <c r="E2" s="5" t="n">
        <f aca="false">C2-D2</f>
        <v>38000</v>
      </c>
    </row>
    <row r="3" customFormat="false" ht="17.15" hidden="false" customHeight="false" outlineLevel="0" collapsed="false">
      <c r="A3" s="2" t="s">
        <v>5</v>
      </c>
      <c r="B3" s="3" t="s">
        <v>7</v>
      </c>
      <c r="C3" s="4" t="n">
        <v>45000</v>
      </c>
      <c r="D3" s="4" t="n">
        <v>38500</v>
      </c>
      <c r="E3" s="5" t="n">
        <f aca="false">C3-D3</f>
        <v>6500</v>
      </c>
    </row>
    <row r="4" customFormat="false" ht="17.15" hidden="false" customHeight="false" outlineLevel="0" collapsed="false">
      <c r="A4" s="2" t="s">
        <v>5</v>
      </c>
      <c r="B4" s="3" t="s">
        <v>8</v>
      </c>
      <c r="C4" s="4" t="n">
        <v>90000</v>
      </c>
      <c r="D4" s="4" t="n">
        <v>61000</v>
      </c>
      <c r="E4" s="5" t="n">
        <f aca="false">C4-D4</f>
        <v>29000</v>
      </c>
    </row>
    <row r="5" customFormat="false" ht="17.15" hidden="false" customHeight="false" outlineLevel="0" collapsed="false">
      <c r="A5" s="2" t="s">
        <v>9</v>
      </c>
      <c r="B5" s="3" t="s">
        <v>6</v>
      </c>
      <c r="C5" s="4" t="n">
        <v>180000</v>
      </c>
      <c r="D5" s="4" t="n">
        <v>165000</v>
      </c>
      <c r="E5" s="5" t="n">
        <f aca="false">C5-D5</f>
        <v>15000</v>
      </c>
    </row>
    <row r="6" customFormat="false" ht="17.15" hidden="false" customHeight="false" outlineLevel="0" collapsed="false">
      <c r="A6" s="2" t="s">
        <v>9</v>
      </c>
      <c r="B6" s="3" t="s">
        <v>7</v>
      </c>
      <c r="C6" s="4" t="n">
        <v>45000</v>
      </c>
      <c r="D6" s="4" t="n">
        <v>41200</v>
      </c>
      <c r="E6" s="5" t="n">
        <f aca="false">C6-D6</f>
        <v>3800</v>
      </c>
    </row>
    <row r="7" customFormat="false" ht="17.15" hidden="false" customHeight="false" outlineLevel="0" collapsed="false">
      <c r="A7" s="2" t="s">
        <v>9</v>
      </c>
      <c r="B7" s="3" t="s">
        <v>8</v>
      </c>
      <c r="C7" s="4" t="n">
        <v>90000</v>
      </c>
      <c r="D7" s="4" t="n">
        <v>88000</v>
      </c>
      <c r="E7" s="5" t="n">
        <f aca="false">C7-D7</f>
        <v>2000</v>
      </c>
    </row>
    <row r="8" customFormat="false" ht="17.15" hidden="false" customHeight="false" outlineLevel="0" collapsed="false">
      <c r="A8" s="2" t="s">
        <v>10</v>
      </c>
      <c r="B8" s="3" t="s">
        <v>6</v>
      </c>
      <c r="C8" s="4" t="n">
        <v>180000</v>
      </c>
      <c r="D8" s="4" t="n">
        <v>210000</v>
      </c>
      <c r="E8" s="5" t="n">
        <f aca="false">C8-D8</f>
        <v>-30000</v>
      </c>
    </row>
    <row r="9" customFormat="false" ht="17.15" hidden="false" customHeight="false" outlineLevel="0" collapsed="false">
      <c r="A9" s="2" t="s">
        <v>10</v>
      </c>
      <c r="B9" s="3" t="s">
        <v>7</v>
      </c>
      <c r="C9" s="4" t="n">
        <v>45000</v>
      </c>
      <c r="D9" s="4" t="n">
        <v>39800</v>
      </c>
      <c r="E9" s="5" t="n">
        <f aca="false">C9-D9</f>
        <v>5200</v>
      </c>
    </row>
    <row r="10" customFormat="false" ht="17.15" hidden="false" customHeight="false" outlineLevel="0" collapsed="false">
      <c r="A10" s="2" t="s">
        <v>10</v>
      </c>
      <c r="B10" s="3" t="s">
        <v>8</v>
      </c>
      <c r="C10" s="4" t="n">
        <v>90000</v>
      </c>
      <c r="D10" s="4" t="n">
        <v>55000</v>
      </c>
      <c r="E10" s="5" t="n">
        <f aca="false">C10-D10</f>
        <v>35000</v>
      </c>
    </row>
    <row r="11" customFormat="false" ht="15" hidden="false" customHeight="false" outlineLevel="0" collapsed="false">
      <c r="B11" s="6" t="s">
        <v>11</v>
      </c>
      <c r="C11" s="7" t="n">
        <f aca="false">SUM(C2:C10)</f>
        <v>945000</v>
      </c>
      <c r="D11" s="7" t="n">
        <f aca="false">SUM(D2:D10)</f>
        <v>840500</v>
      </c>
      <c r="E11" s="7" t="n">
        <f aca="false">SUM(E2:E10)</f>
        <v>104500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5" hidden="false" customHeight="false" outlineLevel="0" collapsed="false">
      <c r="A2" s="3" t="s">
        <v>16</v>
      </c>
      <c r="B2" s="2" t="n">
        <v>24</v>
      </c>
      <c r="C2" s="2" t="n">
        <v>21</v>
      </c>
      <c r="D2" s="8" t="n">
        <f aca="false">B2-C2</f>
        <v>3</v>
      </c>
    </row>
    <row r="3" customFormat="false" ht="15" hidden="false" customHeight="false" outlineLevel="0" collapsed="false">
      <c r="A3" s="3" t="s">
        <v>17</v>
      </c>
      <c r="B3" s="2" t="n">
        <v>15</v>
      </c>
      <c r="C3" s="2" t="n">
        <v>15</v>
      </c>
      <c r="D3" s="8" t="n">
        <f aca="false">B3-C3</f>
        <v>0</v>
      </c>
    </row>
    <row r="4" customFormat="false" ht="15" hidden="false" customHeight="false" outlineLevel="0" collapsed="false">
      <c r="A4" s="3" t="s">
        <v>18</v>
      </c>
      <c r="B4" s="2" t="n">
        <v>8</v>
      </c>
      <c r="C4" s="2" t="n">
        <v>7</v>
      </c>
      <c r="D4" s="8" t="n">
        <f aca="false">B4-C4</f>
        <v>1</v>
      </c>
    </row>
    <row r="5" customFormat="false" ht="15" hidden="false" customHeight="false" outlineLevel="0" collapsed="false">
      <c r="A5" s="3" t="s">
        <v>19</v>
      </c>
      <c r="B5" s="2" t="n">
        <v>5</v>
      </c>
      <c r="C5" s="2" t="n">
        <v>4</v>
      </c>
      <c r="D5" s="8" t="n">
        <f aca="false">B5-C5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2026-09-06T20:21:57Z</dcterms:created>
  <dc:creator>openpyxl</dc:creator>
  <dc:description/>
  <dc:language>en-US</dc:language>
  <cp:lastModifiedBy/>
  <dcterms:modified xsi:type="dcterms:W3CDTF">2026-09-06T20:21:57Z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