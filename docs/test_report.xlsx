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營收明細" sheetId="1" state="visible" r:id="rId3"/>
    <sheet name="部門預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<sst xmlns="http://schemas.openxmlformats.org/spreadsheetml/2006/main" count="36" uniqueCount="24">
  <si>
    <t xml:space="preserve">月份</t>
  </si>
  <si>
    <t xml:space="preserve">產品線</t>
  </si>
  <si>
    <r>
      <rPr>
        <b val="true"/>
        <sz val="11"/>
        <color rgb="FFFFFFFF"/>
        <rFont val="Noto Sans CJK SC"/>
        <family val="2"/>
      </rPr>
      <t xml:space="preserve">營收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</si>
  <si>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成本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</si>
  <si>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毛利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</si>
  <si>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月</t>
    </r>
  </si>
  <si>
    <t xml:space="preserve">企業版授權</t>
  </si>
  <si>
    <t xml:space="preserve">雲端訂閱</t>
  </si>
  <si>
    <t xml:space="preserve">顧問服務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</si>
  <si>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月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</si>
  <si>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月</t>
    </r>
  </si>
  <si>
    <t xml:space="preserve">第二季合計</t>
  </si>
  <si>
    <t xml:space="preserve">部門</t>
  </si>
  <si>
    <r>
      <rPr>
        <b val="true"/>
        <sz val="11"/>
        <color rgb="FFFFFFFF"/>
        <rFont val="Noto Sans CJK SC"/>
        <family val="2"/>
      </rPr>
      <t xml:space="preserve">年度預算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</si>
  <si>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已使用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</si>
  <si>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剩餘額度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</si>
  <si>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使用率</t>
  </si>
  <si>
    <t xml:space="preserve">財務部</t>
  </si>
  <si>
    <t xml:space="preserve">行銷部</t>
  </si>
  <si>
    <t xml:space="preserve">研發部</t>
  </si>
  <si>
    <t xml:space="preserve">人資部</t>
  </si>
  <si>
    <t xml:space="preserve">業務部</t>
  </si>
  <si>
    <t xml:space="preserve">全部門合計</t>
  </si>
  <si>
    <r>
      <rPr>
        <i val="true"/>
        <sz val="9"/>
        <color rgb="FF808080"/>
        <rFont val="Noto Sans CJK SC"/>
        <family val="2"/>
      </rPr>
      <t xml:space="preserve">註：行銷部與業務部預算使用率已逾 </t>
    </r>
    <r>
      <rPr>
        <i val="true"/>
        <sz val="9"/>
        <color rgb="FF808080"/>
        <rFont val="Arial"/>
        <family val="0"/>
        <charset val="1"/>
      </rPr>
      <t xml:space="preserve">90%</t>
    </r>
    <r>
      <rPr>
        <i val="true"/>
        <sz val="9"/>
        <color rgb="FF808080"/>
        <rFont val="Noto Sans CJK SC"/>
        <family val="2"/>
      </rPr>
      <t xml:space="preserve">，建議 </t>
    </r>
    <r>
      <rPr>
        <i val="true"/>
        <sz val="9"/>
        <color rgb="FF808080"/>
        <rFont val="Arial"/>
        <family val="0"/>
        <charset val="1"/>
      </rPr>
      <t xml:space="preserve">Q3 </t>
    </r>
    <r>
      <rPr>
        <i val="true"/>
        <sz val="9"/>
        <color rgb="FF808080"/>
        <rFont val="Noto Sans CJK SC"/>
        <family val="2"/>
      </rPr>
      <t xml:space="preserve">追加審視。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</si>
</sst>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0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3" t="s">
        <v>6</v>
      </c>
      <c r="C2" s="4" t="n">
        <v>1850000</v>
      </c>
      <c r="D2" s="4" t="n">
        <v>620000</v>
      </c>
      <c r="E2" s="5" t="n">
        <f aca="false">C2-D2</f>
        <v>1230000</v>
      </c>
    </row>
    <row r="3" customFormat="false" ht="17.15" hidden="false" customHeight="false" outlineLevel="0" collapsed="false">
      <c r="A3" s="2" t="s">
        <v>5</v>
      </c>
      <c r="B3" s="3" t="s">
        <v>7</v>
      </c>
      <c r="C3" s="4" t="n">
        <v>940000</v>
      </c>
      <c r="D3" s="4" t="n">
        <v>310000</v>
      </c>
      <c r="E3" s="5" t="n">
        <f aca="false">C3-D3</f>
        <v>630000</v>
      </c>
    </row>
    <row r="4" customFormat="false" ht="17.15" hidden="false" customHeight="false" outlineLevel="0" collapsed="false">
      <c r="A4" s="2" t="s">
        <v>5</v>
      </c>
      <c r="B4" s="3" t="s">
        <v>8</v>
      </c>
      <c r="C4" s="4" t="n">
        <v>420000</v>
      </c>
      <c r="D4" s="4" t="n">
        <v>180000</v>
      </c>
      <c r="E4" s="5" t="n">
        <f aca="false">C4-D4</f>
        <v>240000</v>
      </c>
    </row>
    <row r="5" customFormat="false" ht="17.15" hidden="false" customHeight="false" outlineLevel="0" collapsed="false">
      <c r="A5" s="2" t="s">
        <v>9</v>
      </c>
      <c r="B5" s="3" t="s">
        <v>6</v>
      </c>
      <c r="C5" s="4" t="n">
        <v>2100000</v>
      </c>
      <c r="D5" s="4" t="n">
        <v>700000</v>
      </c>
      <c r="E5" s="5" t="n">
        <f aca="false">C5-D5</f>
        <v>1400000</v>
      </c>
    </row>
    <row r="6" customFormat="false" ht="17.15" hidden="false" customHeight="false" outlineLevel="0" collapsed="false">
      <c r="A6" s="2" t="s">
        <v>9</v>
      </c>
      <c r="B6" s="3" t="s">
        <v>7</v>
      </c>
      <c r="C6" s="4" t="n">
        <v>1020000</v>
      </c>
      <c r="D6" s="4" t="n">
        <v>335000</v>
      </c>
      <c r="E6" s="5" t="n">
        <f aca="false">C6-D6</f>
        <v>685000</v>
      </c>
    </row>
    <row r="7" customFormat="false" ht="17.15" hidden="false" customHeight="false" outlineLevel="0" collapsed="false">
      <c r="A7" s="2" t="s">
        <v>9</v>
      </c>
      <c r="B7" s="3" t="s">
        <v>8</v>
      </c>
      <c r="C7" s="4" t="n">
        <v>380000</v>
      </c>
      <c r="D7" s="4" t="n">
        <v>160000</v>
      </c>
      <c r="E7" s="5" t="n">
        <f aca="false">C7-D7</f>
        <v>220000</v>
      </c>
    </row>
    <row r="8" customFormat="false" ht="17.15" hidden="false" customHeight="false" outlineLevel="0" collapsed="false">
      <c r="A8" s="2" t="s">
        <v>10</v>
      </c>
      <c r="B8" s="3" t="s">
        <v>6</v>
      </c>
      <c r="C8" s="4" t="n">
        <v>2460000</v>
      </c>
      <c r="D8" s="4" t="n">
        <v>810000</v>
      </c>
      <c r="E8" s="5" t="n">
        <f aca="false">C8-D8</f>
        <v>1650000</v>
      </c>
    </row>
    <row r="9" customFormat="false" ht="17.15" hidden="false" customHeight="false" outlineLevel="0" collapsed="false">
      <c r="A9" s="2" t="s">
        <v>10</v>
      </c>
      <c r="B9" s="3" t="s">
        <v>7</v>
      </c>
      <c r="C9" s="4" t="n">
        <v>1180000</v>
      </c>
      <c r="D9" s="4" t="n">
        <v>390000</v>
      </c>
      <c r="E9" s="5" t="n">
        <f aca="false">C9-D9</f>
        <v>790000</v>
      </c>
    </row>
    <row r="10" customFormat="false" ht="17.15" hidden="false" customHeight="false" outlineLevel="0" collapsed="false">
      <c r="A10" s="2" t="s">
        <v>10</v>
      </c>
      <c r="B10" s="3" t="s">
        <v>8</v>
      </c>
      <c r="C10" s="4" t="n">
        <v>510000</v>
      </c>
      <c r="D10" s="4" t="n">
        <v>210000</v>
      </c>
      <c r="E10" s="5" t="n">
        <f aca="false">C10-D10</f>
        <v>300000</v>
      </c>
    </row>
    <row r="11" customFormat="false" ht="15" hidden="false" customHeight="false" outlineLevel="0" collapsed="false">
      <c r="A11" s="6"/>
      <c r="B11" s="7" t="s">
        <v>11</v>
      </c>
      <c r="C11" s="8" t="n">
        <f aca="false">SUM(C2:C10)</f>
        <v>10860000</v>
      </c>
      <c r="D11" s="8" t="n">
        <f aca="false">SUM(D2:D10)</f>
        <v>3715000</v>
      </c>
      <c r="E11" s="8" t="n">
        <f aca="false">SUM(E2:E10)</f>
        <v>7145000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7.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customFormat="false" ht="15" hidden="false" customHeight="false" outlineLevel="0" collapsed="false">
      <c r="A2" s="3" t="s">
        <v>17</v>
      </c>
      <c r="B2" s="4" t="n">
        <v>3200000</v>
      </c>
      <c r="C2" s="4" t="n">
        <v>1450000</v>
      </c>
      <c r="D2" s="5" t="n">
        <f aca="false">B2-C2</f>
        <v>1750000</v>
      </c>
      <c r="E2" s="9" t="n">
        <f aca="false">C2/B2</f>
        <v>0.453125</v>
      </c>
    </row>
    <row r="3" customFormat="false" ht="15" hidden="false" customHeight="false" outlineLevel="0" collapsed="false">
      <c r="A3" s="3" t="s">
        <v>18</v>
      </c>
      <c r="B3" s="4" t="n">
        <v>5600000</v>
      </c>
      <c r="C3" s="4" t="n">
        <v>4980000</v>
      </c>
      <c r="D3" s="5" t="n">
        <f aca="false">B3-C3</f>
        <v>620000</v>
      </c>
      <c r="E3" s="9" t="n">
        <f aca="false">C3/B3</f>
        <v>0.889285714285714</v>
      </c>
    </row>
    <row r="4" customFormat="false" ht="15" hidden="false" customHeight="false" outlineLevel="0" collapsed="false">
      <c r="A4" s="3" t="s">
        <v>19</v>
      </c>
      <c r="B4" s="4" t="n">
        <v>12400000</v>
      </c>
      <c r="C4" s="4" t="n">
        <v>6720000</v>
      </c>
      <c r="D4" s="5" t="n">
        <f aca="false">B4-C4</f>
        <v>5680000</v>
      </c>
      <c r="E4" s="9" t="n">
        <f aca="false">C4/B4</f>
        <v>0.541935483870968</v>
      </c>
    </row>
    <row r="5" customFormat="false" ht="15" hidden="false" customHeight="false" outlineLevel="0" collapsed="false">
      <c r="A5" s="3" t="s">
        <v>20</v>
      </c>
      <c r="B5" s="4" t="n">
        <v>1800000</v>
      </c>
      <c r="C5" s="4" t="n">
        <v>950000</v>
      </c>
      <c r="D5" s="5" t="n">
        <f aca="false">B5-C5</f>
        <v>850000</v>
      </c>
      <c r="E5" s="9" t="n">
        <f aca="false">C5/B5</f>
        <v>0.527777777777778</v>
      </c>
    </row>
    <row r="6" customFormat="false" ht="15" hidden="false" customHeight="false" outlineLevel="0" collapsed="false">
      <c r="A6" s="3" t="s">
        <v>21</v>
      </c>
      <c r="B6" s="4" t="n">
        <v>4100000</v>
      </c>
      <c r="C6" s="4" t="n">
        <v>3860000</v>
      </c>
      <c r="D6" s="5" t="n">
        <f aca="false">B6-C6</f>
        <v>240000</v>
      </c>
      <c r="E6" s="9" t="n">
        <f aca="false">C6/B6</f>
        <v>0.941463414634146</v>
      </c>
    </row>
    <row r="7" customFormat="false" ht="15" hidden="false" customHeight="false" outlineLevel="0" collapsed="false">
      <c r="A7" s="7" t="s">
        <v>22</v>
      </c>
      <c r="B7" s="8" t="n">
        <f aca="false">SUM(B2:B6)</f>
        <v>27100000</v>
      </c>
      <c r="C7" s="8" t="n">
        <f aca="false">SUM(C2:C6)</f>
        <v>17960000</v>
      </c>
      <c r="D7" s="8" t="n">
        <f aca="false">SUM(D2:D6)</f>
        <v>9140000</v>
      </c>
      <c r="E7" s="6"/>
    </row>
    <row r="9" customFormat="false" ht="15" hidden="false" customHeight="false" outlineLevel="0" collapsed="false">
      <c r="A9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2026-09-02T07:40:40Z</dcterms:created>
  <dc:creator>openpyxl</dc:creator>
  <dc:description/>
  <dc:language>en-US</dc:language>
  <cp:lastModifiedBy/>
  <dcterms:modified xsi:type="dcterms:W3CDTF">2026-09-02T07:40:40Z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